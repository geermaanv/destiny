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Números" sheetId="2" state="visible" r:id="rId2"/>
    <sheet name="Matriz" sheetId="3" state="visible" r:id="rId3"/>
    <sheet name="Parámetros" sheetId="4" state="visible" r:id="rId4"/>
    <sheet name="Calculadora" sheetId="5" state="visible" r:id="rId5"/>
    <sheet name="Con nomb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5225B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CD9EC"/>
      </left>
      <right style="thin">
        <color rgb="00DCD9EC"/>
      </right>
      <top style="thin">
        <color rgb="00DCD9EC"/>
      </top>
      <bottom style="thin">
        <color rgb="00DCD9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9" fontId="0" fillId="3" borderId="1" pivotButton="0" quotePrefix="0" xfId="0"/>
    <xf numFmtId="165" fontId="0" fillId="3" borderId="1" pivotButton="0" quotePrefix="0" xfId="0"/>
    <xf numFmtId="1" fontId="0" fillId="0" borderId="0" pivotButton="0" quotePrefix="0" xfId="0"/>
    <xf numFmtId="1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Destiny · Numerología · Propuesta v0 (borrador para que Pablo revise y corrija)</t>
        </is>
      </c>
    </row>
    <row r="2">
      <c r="A2" t="inlineStr"/>
    </row>
    <row r="3">
      <c r="A3" t="inlineStr">
        <is>
          <t>Qué es: un modelo para sumar la numerología como tercer sistema de compatibilidad, junto a la astrología y el test.</t>
        </is>
      </c>
    </row>
    <row r="4">
      <c r="A4" t="inlineStr">
        <is>
          <t>Usa los mismos 4 ejes (Química, Afecto, Comunicación, Compromiso) y los mismos pesos por vínculo que tu motor 1.0,</t>
        </is>
      </c>
    </row>
    <row r="5">
      <c r="A5" t="inlineStr">
        <is>
          <t>así entra en Círculo y en el número global sin cambiar las pantallas.</t>
        </is>
      </c>
    </row>
    <row r="6">
      <c r="A6" t="inlineStr"/>
    </row>
    <row r="7">
      <c r="A7" s="1" t="inlineStr">
        <is>
          <t>Qué se calcula (solo con la fecha de nacimiento, sin pedir el nombre completo):</t>
        </is>
      </c>
    </row>
    <row r="8">
      <c r="A8" t="inlineStr">
        <is>
          <t>• Camino de vida: día, mes y año reducidos cada uno a un dígito, sumados y reducidos (se conservan 11, 22 y 33).</t>
        </is>
      </c>
    </row>
    <row r="9">
      <c r="A9" t="inlineStr">
        <is>
          <t>• Número del día: el día de nacimiento reducido (se conservan 11 y 22).</t>
        </is>
      </c>
    </row>
    <row r="10">
      <c r="A10" t="inlineStr">
        <is>
          <t>• Para comparar, los maestros se leen como su base: 11 → 2, 22 → 4, 33 → 6.</t>
        </is>
      </c>
    </row>
    <row r="11">
      <c r="A11" t="inlineStr"/>
    </row>
    <row r="12">
      <c r="A12" s="1" t="inlineStr">
        <is>
          <t>Cómo se compara a dos personas:</t>
        </is>
      </c>
    </row>
    <row r="13">
      <c r="A13" t="inlineStr">
        <is>
          <t>1. Matriz base: compatibilidad de dos números (hoja Matriz).</t>
        </is>
      </c>
    </row>
    <row r="14">
      <c r="A14" t="inlineStr">
        <is>
          <t>2. Cada eje ajusta la base según cuánto aportan los dos números a ese eje (hoja Números, afinidad por eje):</t>
        </is>
      </c>
    </row>
    <row r="15">
      <c r="A15" t="inlineStr">
        <is>
          <t xml:space="preserve">   eje = base + Ajuste × (promedio de afinidades − 50) / 50, entre 0 y 100.</t>
        </is>
      </c>
    </row>
    <row r="16">
      <c r="A16" t="inlineStr">
        <is>
          <t>3. Se combina Camino de vida (70 %) y Número del día (30 %) (hoja Parámetros).</t>
        </is>
      </c>
    </row>
    <row r="17">
      <c r="A17" t="inlineStr">
        <is>
          <t>4. Total de cada vínculo = suma de ejes × pesos del vínculo (los de tu motor).</t>
        </is>
      </c>
    </row>
    <row r="18">
      <c r="A18" t="inlineStr"/>
    </row>
    <row r="19">
      <c r="A19" s="1" t="inlineStr">
        <is>
          <t>Qué te pido:</t>
        </is>
      </c>
    </row>
    <row r="20">
      <c r="A20" t="inlineStr">
        <is>
          <t>• Todas las celdas amarillas son editables: matriz, afinidades, pesos y parámetros.</t>
        </is>
      </c>
    </row>
    <row r="21">
      <c r="A21" t="inlineStr">
        <is>
          <t>• Probá con la hoja Calculadora (poné dos fechas) y ajustá hasta que los resultados te cierren.</t>
        </is>
      </c>
    </row>
    <row r="22">
      <c r="A22" t="inlineStr">
        <is>
          <t>• Si preferís otro método (otros números, otra forma de comparar), contame y lo armo.</t>
        </is>
      </c>
    </row>
    <row r="23">
      <c r="A23" t="inlineStr"/>
    </row>
    <row r="24">
      <c r="A24" s="1" t="inlineStr">
        <is>
          <t>Opcional, con el nombre completo de nacimiento (hoja Con nombre):</t>
        </is>
      </c>
    </row>
    <row r="25">
      <c r="A25" t="inlineStr">
        <is>
          <t>• Expresión (todas las letras), Alma (vocales) y Personalidad (consonantes), con la tabla pitagórica (A=1 … I=9, J=1 …).</t>
        </is>
      </c>
    </row>
    <row r="26">
      <c r="A26" t="inlineStr">
        <is>
          <t>• Alma → Afecto, Personalidad → Química, Expresión → Comunicación y Compromiso.</t>
        </is>
      </c>
    </row>
    <row r="27">
      <c r="A27" t="inlineStr">
        <is>
          <t>• Se mezcla con lo de la fecha según el Peso del nombre (hoja Parámetros, 50 % de arranque).</t>
        </is>
      </c>
    </row>
    <row r="28">
      <c r="A28" t="inlineStr">
        <is>
          <t>• Sería opcional en la app: el nombre que guardamos hoy es el apodo del perfil, que no sirve para esto.</t>
        </is>
      </c>
    </row>
    <row r="29">
      <c r="A29" t="inlineStr"/>
    </row>
    <row r="30">
      <c r="A30" t="inlineStr">
        <is>
          <t>Los valores de este borrador salen de las reglas clásicas de la numerología (grupos 1-5-7, 3-6-9, 2-4-8 y</t>
        </is>
      </c>
    </row>
    <row r="31">
      <c r="A31" t="inlineStr">
        <is>
          <t>combinaciones en tensión como 4-5 y 1-8). Son un punto de partida: el modelo final lo definís vos.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Número</t>
        </is>
      </c>
      <c r="B1" s="2" t="inlineStr">
        <is>
          <t>Significado</t>
        </is>
      </c>
      <c r="C1" s="2" t="inlineStr">
        <is>
          <t>Afinidad Química</t>
        </is>
      </c>
      <c r="D1" s="2" t="inlineStr">
        <is>
          <t>Afinidad Afecto</t>
        </is>
      </c>
      <c r="E1" s="2" t="inlineStr">
        <is>
          <t>Afinidad Comunicación</t>
        </is>
      </c>
      <c r="F1" s="2" t="inlineStr">
        <is>
          <t>Afinidad Compromiso</t>
        </is>
      </c>
    </row>
    <row r="2">
      <c r="A2" s="1" t="n">
        <v>1</v>
      </c>
      <c r="B2" t="inlineStr">
        <is>
          <t>Iniciativa, independencia, liderazgo</t>
        </is>
      </c>
      <c r="C2" s="3" t="n">
        <v>70</v>
      </c>
      <c r="D2" s="3" t="n">
        <v>40</v>
      </c>
      <c r="E2" s="3" t="n">
        <v>60</v>
      </c>
      <c r="F2" s="3" t="n">
        <v>50</v>
      </c>
    </row>
    <row r="3">
      <c r="A3" s="1" t="n">
        <v>2</v>
      </c>
      <c r="B3" t="inlineStr">
        <is>
          <t>Cooperación, sensibilidad, vínculo</t>
        </is>
      </c>
      <c r="C3" s="3" t="n">
        <v>50</v>
      </c>
      <c r="D3" s="3" t="n">
        <v>90</v>
      </c>
      <c r="E3" s="3" t="n">
        <v>60</v>
      </c>
      <c r="F3" s="3" t="n">
        <v>80</v>
      </c>
    </row>
    <row r="4">
      <c r="A4" s="1" t="n">
        <v>3</v>
      </c>
      <c r="B4" t="inlineStr">
        <is>
          <t>Expresión, creatividad, alegría</t>
        </is>
      </c>
      <c r="C4" s="3" t="n">
        <v>70</v>
      </c>
      <c r="D4" s="3" t="n">
        <v>60</v>
      </c>
      <c r="E4" s="3" t="n">
        <v>90</v>
      </c>
      <c r="F4" s="3" t="n">
        <v>40</v>
      </c>
    </row>
    <row r="5">
      <c r="A5" s="1" t="n">
        <v>4</v>
      </c>
      <c r="B5" t="inlineStr">
        <is>
          <t>Estructura, constancia, trabajo</t>
        </is>
      </c>
      <c r="C5" s="3" t="n">
        <v>40</v>
      </c>
      <c r="D5" s="3" t="n">
        <v>60</v>
      </c>
      <c r="E5" s="3" t="n">
        <v>50</v>
      </c>
      <c r="F5" s="3" t="n">
        <v>90</v>
      </c>
    </row>
    <row r="6">
      <c r="A6" s="1" t="n">
        <v>5</v>
      </c>
      <c r="B6" t="inlineStr">
        <is>
          <t>Libertad, cambio, aventura</t>
        </is>
      </c>
      <c r="C6" s="3" t="n">
        <v>90</v>
      </c>
      <c r="D6" s="3" t="n">
        <v>40</v>
      </c>
      <c r="E6" s="3" t="n">
        <v>80</v>
      </c>
      <c r="F6" s="3" t="n">
        <v>30</v>
      </c>
    </row>
    <row r="7">
      <c r="A7" s="1" t="n">
        <v>6</v>
      </c>
      <c r="B7" t="inlineStr">
        <is>
          <t>Cuidado, familia, responsabilidad</t>
        </is>
      </c>
      <c r="C7" s="3" t="n">
        <v>50</v>
      </c>
      <c r="D7" s="3" t="n">
        <v>90</v>
      </c>
      <c r="E7" s="3" t="n">
        <v>60</v>
      </c>
      <c r="F7" s="3" t="n">
        <v>90</v>
      </c>
    </row>
    <row r="8">
      <c r="A8" s="1" t="n">
        <v>7</v>
      </c>
      <c r="B8" t="inlineStr">
        <is>
          <t>Introspección, análisis, búsqueda</t>
        </is>
      </c>
      <c r="C8" s="3" t="n">
        <v>40</v>
      </c>
      <c r="D8" s="3" t="n">
        <v>50</v>
      </c>
      <c r="E8" s="3" t="n">
        <v>70</v>
      </c>
      <c r="F8" s="3" t="n">
        <v>60</v>
      </c>
    </row>
    <row r="9">
      <c r="A9" s="1" t="n">
        <v>8</v>
      </c>
      <c r="B9" t="inlineStr">
        <is>
          <t>Ambición, logro, poder</t>
        </is>
      </c>
      <c r="C9" s="3" t="n">
        <v>80</v>
      </c>
      <c r="D9" s="3" t="n">
        <v>50</v>
      </c>
      <c r="E9" s="3" t="n">
        <v>50</v>
      </c>
      <c r="F9" s="3" t="n">
        <v>80</v>
      </c>
    </row>
    <row r="10">
      <c r="A10" s="1" t="n">
        <v>9</v>
      </c>
      <c r="B10" t="inlineStr">
        <is>
          <t>Compasión, idealismo, entrega</t>
        </is>
      </c>
      <c r="C10" s="3" t="n">
        <v>60</v>
      </c>
      <c r="D10" s="3" t="n">
        <v>80</v>
      </c>
      <c r="E10" s="3" t="n">
        <v>70</v>
      </c>
      <c r="F10" s="3" t="n">
        <v>60</v>
      </c>
    </row>
    <row r="12">
      <c r="A12" s="1" t="inlineStr">
        <is>
          <t>Maestros</t>
        </is>
      </c>
    </row>
    <row r="13">
      <c r="A13" t="n">
        <v>11</v>
      </c>
      <c r="B13" t="inlineStr">
        <is>
          <t>Intuición, inspiración (se lee como 2)</t>
        </is>
      </c>
    </row>
    <row r="14">
      <c r="A14" t="n">
        <v>22</v>
      </c>
      <c r="B14" t="inlineStr">
        <is>
          <t>Constructor (se lee como 4)</t>
        </is>
      </c>
    </row>
    <row r="15">
      <c r="A15" t="n">
        <v>33</v>
      </c>
      <c r="B15" t="inlineStr">
        <is>
          <t>Maestro, servicio (se lee como 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>
      <c r="A1" s="1" t="inlineStr">
        <is>
          <t>Compatibilidad base (0-100). Mantenerla simétrica: (a,b) = (b,a).</t>
        </is>
      </c>
    </row>
    <row r="2">
      <c r="A2" s="2" t="inlineStr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</row>
    <row r="3">
      <c r="A3" s="1" t="n">
        <v>1</v>
      </c>
      <c r="B3" s="4" t="n">
        <v>65</v>
      </c>
      <c r="C3" s="4" t="n">
        <v>60</v>
      </c>
      <c r="D3" s="4" t="n">
        <v>85</v>
      </c>
      <c r="E3" s="4" t="n">
        <v>50</v>
      </c>
      <c r="F3" s="4" t="n">
        <v>80</v>
      </c>
      <c r="G3" s="4" t="n">
        <v>55</v>
      </c>
      <c r="H3" s="4" t="n">
        <v>75</v>
      </c>
      <c r="I3" s="4" t="n">
        <v>50</v>
      </c>
      <c r="J3" s="4" t="n">
        <v>80</v>
      </c>
    </row>
    <row r="4">
      <c r="A4" s="1" t="n">
        <v>2</v>
      </c>
      <c r="B4" s="4" t="n">
        <v>60</v>
      </c>
      <c r="C4" s="4" t="n">
        <v>70</v>
      </c>
      <c r="D4" s="4" t="n">
        <v>60</v>
      </c>
      <c r="E4" s="4" t="n">
        <v>85</v>
      </c>
      <c r="F4" s="4" t="n">
        <v>40</v>
      </c>
      <c r="G4" s="4" t="n">
        <v>90</v>
      </c>
      <c r="H4" s="4" t="n">
        <v>55</v>
      </c>
      <c r="I4" s="4" t="n">
        <v>85</v>
      </c>
      <c r="J4" s="4" t="n">
        <v>65</v>
      </c>
    </row>
    <row r="5">
      <c r="A5" s="1" t="n">
        <v>3</v>
      </c>
      <c r="B5" s="4" t="n">
        <v>85</v>
      </c>
      <c r="C5" s="4" t="n">
        <v>60</v>
      </c>
      <c r="D5" s="4" t="n">
        <v>70</v>
      </c>
      <c r="E5" s="4" t="n">
        <v>45</v>
      </c>
      <c r="F5" s="4" t="n">
        <v>85</v>
      </c>
      <c r="G5" s="4" t="n">
        <v>85</v>
      </c>
      <c r="H5" s="4" t="n">
        <v>55</v>
      </c>
      <c r="I5" s="4" t="n">
        <v>50</v>
      </c>
      <c r="J5" s="4" t="n">
        <v>90</v>
      </c>
    </row>
    <row r="6">
      <c r="A6" s="1" t="n">
        <v>4</v>
      </c>
      <c r="B6" s="4" t="n">
        <v>50</v>
      </c>
      <c r="C6" s="4" t="n">
        <v>85</v>
      </c>
      <c r="D6" s="4" t="n">
        <v>45</v>
      </c>
      <c r="E6" s="4" t="n">
        <v>75</v>
      </c>
      <c r="F6" s="4" t="n">
        <v>35</v>
      </c>
      <c r="G6" s="4" t="n">
        <v>80</v>
      </c>
      <c r="H6" s="4" t="n">
        <v>70</v>
      </c>
      <c r="I6" s="4" t="n">
        <v>90</v>
      </c>
      <c r="J6" s="4" t="n">
        <v>50</v>
      </c>
    </row>
    <row r="7">
      <c r="A7" s="1" t="n">
        <v>5</v>
      </c>
      <c r="B7" s="4" t="n">
        <v>80</v>
      </c>
      <c r="C7" s="4" t="n">
        <v>40</v>
      </c>
      <c r="D7" s="4" t="n">
        <v>85</v>
      </c>
      <c r="E7" s="4" t="n">
        <v>35</v>
      </c>
      <c r="F7" s="4" t="n">
        <v>65</v>
      </c>
      <c r="G7" s="4" t="n">
        <v>45</v>
      </c>
      <c r="H7" s="4" t="n">
        <v>80</v>
      </c>
      <c r="I7" s="4" t="n">
        <v>55</v>
      </c>
      <c r="J7" s="4" t="n">
        <v>70</v>
      </c>
    </row>
    <row r="8">
      <c r="A8" s="1" t="n">
        <v>6</v>
      </c>
      <c r="B8" s="4" t="n">
        <v>55</v>
      </c>
      <c r="C8" s="4" t="n">
        <v>90</v>
      </c>
      <c r="D8" s="4" t="n">
        <v>85</v>
      </c>
      <c r="E8" s="4" t="n">
        <v>80</v>
      </c>
      <c r="F8" s="4" t="n">
        <v>45</v>
      </c>
      <c r="G8" s="4" t="n">
        <v>75</v>
      </c>
      <c r="H8" s="4" t="n">
        <v>45</v>
      </c>
      <c r="I8" s="4" t="n">
        <v>70</v>
      </c>
      <c r="J8" s="4" t="n">
        <v>90</v>
      </c>
    </row>
    <row r="9">
      <c r="A9" s="1" t="n">
        <v>7</v>
      </c>
      <c r="B9" s="4" t="n">
        <v>75</v>
      </c>
      <c r="C9" s="4" t="n">
        <v>55</v>
      </c>
      <c r="D9" s="4" t="n">
        <v>55</v>
      </c>
      <c r="E9" s="4" t="n">
        <v>70</v>
      </c>
      <c r="F9" s="4" t="n">
        <v>80</v>
      </c>
      <c r="G9" s="4" t="n">
        <v>45</v>
      </c>
      <c r="H9" s="4" t="n">
        <v>70</v>
      </c>
      <c r="I9" s="4" t="n">
        <v>50</v>
      </c>
      <c r="J9" s="4" t="n">
        <v>65</v>
      </c>
    </row>
    <row r="10">
      <c r="A10" s="1" t="n">
        <v>8</v>
      </c>
      <c r="B10" s="4" t="n">
        <v>50</v>
      </c>
      <c r="C10" s="4" t="n">
        <v>85</v>
      </c>
      <c r="D10" s="4" t="n">
        <v>50</v>
      </c>
      <c r="E10" s="4" t="n">
        <v>90</v>
      </c>
      <c r="F10" s="4" t="n">
        <v>55</v>
      </c>
      <c r="G10" s="4" t="n">
        <v>70</v>
      </c>
      <c r="H10" s="4" t="n">
        <v>50</v>
      </c>
      <c r="I10" s="4" t="n">
        <v>65</v>
      </c>
      <c r="J10" s="4" t="n">
        <v>55</v>
      </c>
    </row>
    <row r="11">
      <c r="A11" s="1" t="n">
        <v>9</v>
      </c>
      <c r="B11" s="4" t="n">
        <v>80</v>
      </c>
      <c r="C11" s="4" t="n">
        <v>65</v>
      </c>
      <c r="D11" s="4" t="n">
        <v>90</v>
      </c>
      <c r="E11" s="4" t="n">
        <v>50</v>
      </c>
      <c r="F11" s="4" t="n">
        <v>70</v>
      </c>
      <c r="G11" s="4" t="n">
        <v>90</v>
      </c>
      <c r="H11" s="4" t="n">
        <v>65</v>
      </c>
      <c r="I11" s="4" t="n">
        <v>55</v>
      </c>
      <c r="J11" s="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>
      <c r="A1" t="inlineStr">
        <is>
          <t>Peso Camino de vida</t>
        </is>
      </c>
      <c r="B1" s="3" t="n">
        <v>0.7</v>
      </c>
    </row>
    <row r="2">
      <c r="A2" t="inlineStr">
        <is>
          <t>Peso Número del día</t>
        </is>
      </c>
      <c r="B2" s="3" t="n">
        <v>0.3</v>
      </c>
    </row>
    <row r="3">
      <c r="A3" t="inlineStr">
        <is>
          <t>Ajuste por eje (puntos máximos)</t>
        </is>
      </c>
      <c r="B3" s="3" t="n">
        <v>10</v>
      </c>
    </row>
    <row r="4">
      <c r="A4" t="inlineStr">
        <is>
          <t>Peso del nombre, si se carga (hoja Con nombre)</t>
        </is>
      </c>
      <c r="B4" s="3" t="n">
        <v>0.5</v>
      </c>
    </row>
    <row r="5">
      <c r="A5" s="2" t="inlineStr">
        <is>
          <t>Vínculo</t>
        </is>
      </c>
      <c r="B5" s="2" t="inlineStr">
        <is>
          <t>Química</t>
        </is>
      </c>
      <c r="C5" s="2" t="inlineStr">
        <is>
          <t>Afecto</t>
        </is>
      </c>
      <c r="D5" s="2" t="inlineStr">
        <is>
          <t>Comunicación</t>
        </is>
      </c>
      <c r="E5" s="2" t="inlineStr">
        <is>
          <t>Compromiso</t>
        </is>
      </c>
    </row>
    <row r="6">
      <c r="A6" s="1" t="inlineStr">
        <is>
          <t>Pareja</t>
        </is>
      </c>
      <c r="B6" s="5" t="n">
        <v>0.25</v>
      </c>
      <c r="C6" s="5" t="n">
        <v>0.25</v>
      </c>
      <c r="D6" s="5" t="n">
        <v>0.25</v>
      </c>
      <c r="E6" s="5" t="n">
        <v>0.25</v>
      </c>
    </row>
    <row r="7">
      <c r="A7" s="1" t="inlineStr">
        <is>
          <t>Amistad</t>
        </is>
      </c>
      <c r="B7" s="5" t="n">
        <v>0.1</v>
      </c>
      <c r="C7" s="5" t="n">
        <v>0.35</v>
      </c>
      <c r="D7" s="5" t="n">
        <v>0.4</v>
      </c>
      <c r="E7" s="5" t="n">
        <v>0.15</v>
      </c>
    </row>
    <row r="8">
      <c r="A8" s="1" t="inlineStr">
        <is>
          <t>Trabajo</t>
        </is>
      </c>
      <c r="B8" s="5" t="n">
        <v>0.1</v>
      </c>
      <c r="C8" s="5" t="n">
        <v>0.1</v>
      </c>
      <c r="D8" s="5" t="n">
        <v>0.4</v>
      </c>
      <c r="E8" s="5" t="n">
        <v>0.4</v>
      </c>
    </row>
    <row r="9">
      <c r="A9" s="1" t="inlineStr">
        <is>
          <t>Casual</t>
        </is>
      </c>
      <c r="B9" s="5" t="n">
        <v>0.7</v>
      </c>
      <c r="C9" s="5" t="n">
        <v>0.1</v>
      </c>
      <c r="D9" s="5" t="n">
        <v>0.15</v>
      </c>
      <c r="E9" s="5" t="n">
        <v>0.05</v>
      </c>
    </row>
    <row r="11">
      <c r="A11" t="inlineStr">
        <is>
          <t>Los pesos por vínculo son los de tu motor Destiny 1.0 (cada fila suma 100 %).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>
      <c r="A1" s="1" t="inlineStr">
        <is>
          <t>Poné dos fechas de nacimiento (celdas amarillas) y mirá la compatibilidad numerológica.</t>
        </is>
      </c>
    </row>
    <row r="3">
      <c r="A3" s="2" t="inlineStr"/>
      <c r="B3" s="2" t="inlineStr">
        <is>
          <t>Persona A</t>
        </is>
      </c>
      <c r="C3" s="2" t="inlineStr">
        <is>
          <t>Persona B</t>
        </is>
      </c>
    </row>
    <row r="4">
      <c r="A4" t="inlineStr">
        <is>
          <t>Fecha de nacimiento</t>
        </is>
      </c>
      <c r="B4" s="6" t="n">
        <v>33013</v>
      </c>
      <c r="C4" s="6" t="n">
        <v>32454</v>
      </c>
    </row>
    <row r="5">
      <c r="A5" t="inlineStr">
        <is>
          <t>Día</t>
        </is>
      </c>
      <c r="B5">
        <f>DAY(B4)</f>
        <v/>
      </c>
      <c r="C5">
        <f>DAY(C4)</f>
        <v/>
      </c>
      <c r="J5">
        <f>(INT(B5/1000)+MOD(INT(B5/100),10)+MOD(INT(B5/10),10)+MOD(B5,10))</f>
        <v/>
      </c>
      <c r="K5">
        <f>(INT(J5/1000)+MOD(INT(J5/100),10)+MOD(INT(J5/10),10)+MOD(J5,10))</f>
        <v/>
      </c>
      <c r="L5">
        <f>IF(B5&lt;10,B5,IF(OR(B5=11,B5=22),B5,IF(J5&lt;10,J5,IF(OR(J5=11,J5=22),J5,IF(K5&lt;10,K5,IF(OR(K5=11,K5=22),K5,(INT(K5/1000)+MOD(INT(K5/100),10)+MOD(INT(K5/10),10)+MOD(K5,10))))))))</f>
        <v/>
      </c>
      <c r="P5">
        <f>(INT(C5/1000)+MOD(INT(C5/100),10)+MOD(INT(C5/10),10)+MOD(C5,10))</f>
        <v/>
      </c>
      <c r="Q5">
        <f>(INT(P5/1000)+MOD(INT(P5/100),10)+MOD(INT(P5/10),10)+MOD(P5,10))</f>
        <v/>
      </c>
      <c r="R5">
        <f>IF(C5&lt;10,C5,IF(OR(C5=11,C5=22),C5,IF(P5&lt;10,P5,IF(OR(P5=11,P5=22),P5,IF(Q5&lt;10,Q5,IF(OR(Q5=11,Q5=22),Q5,(INT(Q5/1000)+MOD(INT(Q5/100),10)+MOD(INT(Q5/10),10)+MOD(Q5,10))))))))</f>
        <v/>
      </c>
    </row>
    <row r="6">
      <c r="A6" t="inlineStr">
        <is>
          <t>Mes</t>
        </is>
      </c>
      <c r="B6">
        <f>MONTH(B4)</f>
        <v/>
      </c>
      <c r="C6">
        <f>MONTH(C4)</f>
        <v/>
      </c>
      <c r="J6">
        <f>(INT(B6/1000)+MOD(INT(B6/100),10)+MOD(INT(B6/10),10)+MOD(B6,10))</f>
        <v/>
      </c>
      <c r="K6">
        <f>(INT(J6/1000)+MOD(INT(J6/100),10)+MOD(INT(J6/10),10)+MOD(J6,10))</f>
        <v/>
      </c>
      <c r="L6">
        <f>IF(B6&lt;10,B6,IF(OR(B6=11),B6,IF(J6&lt;10,J6,IF(OR(J6=11),J6,IF(K6&lt;10,K6,IF(OR(K6=11),K6,(INT(K6/1000)+MOD(INT(K6/100),10)+MOD(INT(K6/10),10)+MOD(K6,10))))))))</f>
        <v/>
      </c>
      <c r="P6">
        <f>(INT(C6/1000)+MOD(INT(C6/100),10)+MOD(INT(C6/10),10)+MOD(C6,10))</f>
        <v/>
      </c>
      <c r="Q6">
        <f>(INT(P6/1000)+MOD(INT(P6/100),10)+MOD(INT(P6/10),10)+MOD(P6,10))</f>
        <v/>
      </c>
      <c r="R6">
        <f>IF(C6&lt;10,C6,IF(OR(C6=11),C6,IF(P6&lt;10,P6,IF(OR(P6=11),P6,IF(Q6&lt;10,Q6,IF(OR(Q6=11),Q6,(INT(Q6/1000)+MOD(INT(Q6/100),10)+MOD(INT(Q6/10),10)+MOD(Q6,10))))))))</f>
        <v/>
      </c>
    </row>
    <row r="7">
      <c r="A7" t="inlineStr">
        <is>
          <t>Año</t>
        </is>
      </c>
      <c r="B7">
        <f>YEAR(B4)</f>
        <v/>
      </c>
      <c r="C7">
        <f>YEAR(C4)</f>
        <v/>
      </c>
      <c r="J7">
        <f>(INT(B7/1000)+MOD(INT(B7/100),10)+MOD(INT(B7/10),10)+MOD(B7,10))</f>
        <v/>
      </c>
      <c r="K7">
        <f>(INT(J7/1000)+MOD(INT(J7/100),10)+MOD(INT(J7/10),10)+MOD(J7,10))</f>
        <v/>
      </c>
      <c r="L7">
        <f>IF(B7&lt;10,B7,IF(FALSE,B7,IF(J7&lt;10,J7,IF(FALSE,J7,IF(K7&lt;10,K7,IF(FALSE,K7,(INT(K7/1000)+MOD(INT(K7/100),10)+MOD(INT(K7/10),10)+MOD(K7,10))))))))</f>
        <v/>
      </c>
      <c r="P7">
        <f>(INT(C7/1000)+MOD(INT(C7/100),10)+MOD(INT(C7/10),10)+MOD(C7,10))</f>
        <v/>
      </c>
      <c r="Q7">
        <f>(INT(P7/1000)+MOD(INT(P7/100),10)+MOD(INT(P7/10),10)+MOD(P7,10))</f>
        <v/>
      </c>
      <c r="R7">
        <f>IF(C7&lt;10,C7,IF(FALSE,C7,IF(P7&lt;10,P7,IF(FALSE,P7,IF(Q7&lt;10,Q7,IF(FALSE,Q7,(INT(Q7/1000)+MOD(INT(Q7/100),10)+MOD(INT(Q7/10),10)+MOD(Q7,10))))))))</f>
        <v/>
      </c>
    </row>
    <row r="8">
      <c r="A8" t="inlineStr">
        <is>
          <t>Día reducido</t>
        </is>
      </c>
      <c r="B8">
        <f>L5</f>
        <v/>
      </c>
      <c r="C8">
        <f>R5</f>
        <v/>
      </c>
    </row>
    <row r="9">
      <c r="A9" t="inlineStr">
        <is>
          <t>Mes reducido</t>
        </is>
      </c>
      <c r="B9">
        <f>L6</f>
        <v/>
      </c>
      <c r="C9">
        <f>R6</f>
        <v/>
      </c>
    </row>
    <row r="10">
      <c r="A10" t="inlineStr">
        <is>
          <t>Año reducido</t>
        </is>
      </c>
      <c r="B10">
        <f>L7</f>
        <v/>
      </c>
      <c r="C10">
        <f>R7</f>
        <v/>
      </c>
    </row>
    <row r="11">
      <c r="A11" t="inlineStr">
        <is>
          <t>Camino de vida</t>
        </is>
      </c>
      <c r="B11" s="1">
        <f>L21</f>
        <v/>
      </c>
      <c r="C11" s="1">
        <f>R21</f>
        <v/>
      </c>
    </row>
    <row r="12">
      <c r="A12" t="inlineStr">
        <is>
          <t>Número del día</t>
        </is>
      </c>
      <c r="B12" s="1">
        <f>L22</f>
        <v/>
      </c>
      <c r="C12" s="1">
        <f>R22</f>
        <v/>
      </c>
    </row>
    <row r="13">
      <c r="A13" t="inlineStr">
        <is>
          <t>Camino (base)</t>
        </is>
      </c>
      <c r="B13">
        <f>IF(B11=11,2,IF(B11=22,4,IF(B11=33,6,B11)))</f>
        <v/>
      </c>
      <c r="C13">
        <f>IF(C11=11,2,IF(C11=22,4,IF(C11=33,6,C11)))</f>
        <v/>
      </c>
    </row>
    <row r="14">
      <c r="A14" t="inlineStr">
        <is>
          <t>Día (base)</t>
        </is>
      </c>
      <c r="B14">
        <f>IF(B12=11,2,IF(B12=22,4,IF(B12=33,6,B12)))</f>
        <v/>
      </c>
      <c r="C14">
        <f>IF(C12=11,2,IF(C12=22,4,IF(C12=33,6,C12)))</f>
        <v/>
      </c>
    </row>
    <row r="16">
      <c r="A16" s="2" t="inlineStr">
        <is>
          <t>Eje</t>
        </is>
      </c>
      <c r="B16" s="2" t="inlineStr">
        <is>
          <t>Camino de vida</t>
        </is>
      </c>
      <c r="C16" s="2" t="inlineStr">
        <is>
          <t>Número del día</t>
        </is>
      </c>
      <c r="D16" s="2" t="inlineStr">
        <is>
          <t>Eje combinado</t>
        </is>
      </c>
    </row>
    <row r="17">
      <c r="A17" s="1" t="inlineStr">
        <is>
          <t>Química</t>
        </is>
      </c>
      <c r="B17" s="7">
        <f>MAX(0,MIN(100,INDEX(Matriz!$B$3:$J$11,$B$13,$C$13)+Parámetros!$B$3*((INDEX(Números!$C$2:$C$10,$B$13)+INDEX(Números!$C$2:$C$10,$C$13))/2-50)/50))</f>
        <v/>
      </c>
      <c r="C17" s="7">
        <f>MAX(0,MIN(100,INDEX(Matriz!$B$3:$J$11,$B$14,$C$14)+Parámetros!$B$3*((INDEX(Números!$C$2:$C$10,$B$14)+INDEX(Números!$C$2:$C$10,$C$14))/2-50)/50))</f>
        <v/>
      </c>
      <c r="D17" s="8">
        <f>Parámetros!$B$1*B17+Parámetros!$B$2*C17</f>
        <v/>
      </c>
    </row>
    <row r="18">
      <c r="A18" s="1" t="inlineStr">
        <is>
          <t>Afecto</t>
        </is>
      </c>
      <c r="B18" s="7">
        <f>MAX(0,MIN(100,INDEX(Matriz!$B$3:$J$11,$B$13,$C$13)+Parámetros!$B$3*((INDEX(Números!$D$2:$D$10,$B$13)+INDEX(Números!$D$2:$D$10,$C$13))/2-50)/50))</f>
        <v/>
      </c>
      <c r="C18" s="7">
        <f>MAX(0,MIN(100,INDEX(Matriz!$B$3:$J$11,$B$14,$C$14)+Parámetros!$B$3*((INDEX(Números!$D$2:$D$10,$B$14)+INDEX(Números!$D$2:$D$10,$C$14))/2-50)/50))</f>
        <v/>
      </c>
      <c r="D18" s="8">
        <f>Parámetros!$B$1*B18+Parámetros!$B$2*C18</f>
        <v/>
      </c>
    </row>
    <row r="19">
      <c r="A19" s="1" t="inlineStr">
        <is>
          <t>Comunicación</t>
        </is>
      </c>
      <c r="B19" s="7">
        <f>MAX(0,MIN(100,INDEX(Matriz!$B$3:$J$11,$B$13,$C$13)+Parámetros!$B$3*((INDEX(Números!$E$2:$E$10,$B$13)+INDEX(Números!$E$2:$E$10,$C$13))/2-50)/50))</f>
        <v/>
      </c>
      <c r="C19" s="7">
        <f>MAX(0,MIN(100,INDEX(Matriz!$B$3:$J$11,$B$14,$C$14)+Parámetros!$B$3*((INDEX(Números!$E$2:$E$10,$B$14)+INDEX(Números!$E$2:$E$10,$C$14))/2-50)/50))</f>
        <v/>
      </c>
      <c r="D19" s="8">
        <f>Parámetros!$B$1*B19+Parámetros!$B$2*C19</f>
        <v/>
      </c>
    </row>
    <row r="20">
      <c r="A20" s="1" t="inlineStr">
        <is>
          <t>Compromiso</t>
        </is>
      </c>
      <c r="B20" s="7">
        <f>MAX(0,MIN(100,INDEX(Matriz!$B$3:$J$11,$B$13,$C$13)+Parámetros!$B$3*((INDEX(Números!$F$2:$F$10,$B$13)+INDEX(Números!$F$2:$F$10,$C$13))/2-50)/50))</f>
        <v/>
      </c>
      <c r="C20" s="7">
        <f>MAX(0,MIN(100,INDEX(Matriz!$B$3:$J$11,$B$14,$C$14)+Parámetros!$B$3*((INDEX(Números!$F$2:$F$10,$B$14)+INDEX(Números!$F$2:$F$10,$C$14))/2-50)/50))</f>
        <v/>
      </c>
      <c r="D20" s="8">
        <f>Parámetros!$B$1*B20+Parámetros!$B$2*C20</f>
        <v/>
      </c>
      <c r="J20">
        <f>B8+B9+B10</f>
        <v/>
      </c>
      <c r="P20">
        <f>C8+C9+C10</f>
        <v/>
      </c>
    </row>
    <row r="21">
      <c r="J21">
        <f>(INT(J20/1000)+MOD(INT(J20/100),10)+MOD(INT(J20/10),10)+MOD(J20,10))</f>
        <v/>
      </c>
      <c r="K21">
        <f>(INT(J21/1000)+MOD(INT(J21/100),10)+MOD(INT(J21/10),10)+MOD(J21,10))</f>
        <v/>
      </c>
      <c r="L21">
        <f>IF(J20&lt;10,J20,IF(OR(J20=11,J20=22,J20=33),J20,IF(J21&lt;10,J21,IF(OR(J21=11,J21=22,J21=33),J21,IF(K21&lt;10,K21,IF(OR(K21=11,K21=22,K21=33),K21,(INT(K21/1000)+MOD(INT(K21/100),10)+MOD(INT(K21/10),10)+MOD(K21,10))))))))</f>
        <v/>
      </c>
      <c r="P21">
        <f>(INT(P20/1000)+MOD(INT(P20/100),10)+MOD(INT(P20/10),10)+MOD(P20,10))</f>
        <v/>
      </c>
      <c r="Q21">
        <f>(INT(P21/1000)+MOD(INT(P21/100),10)+MOD(INT(P21/10),10)+MOD(P21,10))</f>
        <v/>
      </c>
      <c r="R21">
        <f>IF(P20&lt;10,P20,IF(OR(P20=11,P20=22,P20=33),P20,IF(P21&lt;10,P21,IF(OR(P21=11,P21=22,P21=33),P21,IF(Q21&lt;10,Q21,IF(OR(Q21=11,Q21=22,Q21=33),Q21,(INT(Q21/1000)+MOD(INT(Q21/100),10)+MOD(INT(Q21/10),10)+MOD(Q21,10))))))))</f>
        <v/>
      </c>
    </row>
    <row r="22">
      <c r="J22">
        <f>(INT(B5/1000)+MOD(INT(B5/100),10)+MOD(INT(B5/10),10)+MOD(B5,10))</f>
        <v/>
      </c>
      <c r="K22">
        <f>(INT(J22/1000)+MOD(INT(J22/100),10)+MOD(INT(J22/10),10)+MOD(J22,10))</f>
        <v/>
      </c>
      <c r="L22">
        <f>IF(B5&lt;10,B5,IF(OR(B5=11,B5=22),B5,IF(J22&lt;10,J22,IF(OR(J22=11,J22=22),J22,IF(K22&lt;10,K22,IF(OR(K22=11,K22=22),K22,(INT(K22/1000)+MOD(INT(K22/100),10)+MOD(INT(K22/10),10)+MOD(K22,10))))))))</f>
        <v/>
      </c>
      <c r="P22">
        <f>(INT(C5/1000)+MOD(INT(C5/100),10)+MOD(INT(C5/10),10)+MOD(C5,10))</f>
        <v/>
      </c>
      <c r="Q22">
        <f>(INT(P22/1000)+MOD(INT(P22/100),10)+MOD(INT(P22/10),10)+MOD(P22,10))</f>
        <v/>
      </c>
      <c r="R22">
        <f>IF(C5&lt;10,C5,IF(OR(C5=11,C5=22),C5,IF(P22&lt;10,P22,IF(OR(P22=11,P22=22),P22,IF(Q22&lt;10,Q22,IF(OR(Q22=11,Q22=22),Q22,(INT(Q22/1000)+MOD(INT(Q22/100),10)+MOD(INT(Q22/10),10)+MOD(Q22,10))))))))</f>
        <v/>
      </c>
    </row>
    <row r="23">
      <c r="A23" s="2" t="inlineStr">
        <is>
          <t>Vínculo</t>
        </is>
      </c>
      <c r="B23" s="2" t="inlineStr">
        <is>
          <t>Compatibilidad</t>
        </is>
      </c>
    </row>
    <row r="24">
      <c r="A24" s="1" t="inlineStr">
        <is>
          <t>Pareja</t>
        </is>
      </c>
      <c r="B24" s="8">
        <f>D17*Parámetros!B6+D18*Parámetros!C6+D19*Parámetros!D6+D20*Parámetros!E6</f>
        <v/>
      </c>
    </row>
    <row r="25">
      <c r="A25" s="1" t="inlineStr">
        <is>
          <t>Amistad</t>
        </is>
      </c>
      <c r="B25" s="8">
        <f>D17*Parámetros!B7+D18*Parámetros!C7+D19*Parámetros!D7+D20*Parámetros!E7</f>
        <v/>
      </c>
    </row>
    <row r="26">
      <c r="A26" s="1" t="inlineStr">
        <is>
          <t>Trabajo</t>
        </is>
      </c>
      <c r="B26" s="8">
        <f>D17*Parámetros!B8+D18*Parámetros!C8+D19*Parámetros!D8+D20*Parámetros!E8</f>
        <v/>
      </c>
    </row>
    <row r="27">
      <c r="A27" s="1" t="inlineStr">
        <is>
          <t>Casual</t>
        </is>
      </c>
      <c r="B27" s="8">
        <f>D17*Parámetros!B9+D18*Parámetros!C9+D19*Parámetros!D9+D20*Parámetros!E9</f>
        <v/>
      </c>
    </row>
    <row r="29">
      <c r="A29" s="1" t="inlineStr">
        <is>
          <t>Global numerológico (promedio de los 4 vínculos)</t>
        </is>
      </c>
      <c r="B29" s="8">
        <f>AVERAGE(B24:B27)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6" customWidth="1" min="4" max="4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>
      <c r="A1" s="1" t="inlineStr">
        <is>
          <t>Opcional: con el nombre completo de nacimiento (el del acta). Poné los nombres en las celdas amarillas.</t>
        </is>
      </c>
    </row>
    <row r="2">
      <c r="A2" t="inlineStr">
        <is>
          <t>Las fechas son las de la hoja Calculadora. Tildes y ñ se leen como la letra sin tilde y N; la Y cuenta como consonante.</t>
        </is>
      </c>
    </row>
    <row r="3">
      <c r="A3" s="2" t="inlineStr"/>
      <c r="B3" s="2" t="inlineStr">
        <is>
          <t>Persona A</t>
        </is>
      </c>
      <c r="C3" s="2" t="inlineStr">
        <is>
          <t>Persona B</t>
        </is>
      </c>
    </row>
    <row r="4">
      <c r="A4" t="inlineStr">
        <is>
          <t>Nombre completo de nacimiento</t>
        </is>
      </c>
      <c r="B4" s="3" t="inlineStr">
        <is>
          <t>María Laura Gómez</t>
        </is>
      </c>
      <c r="C4" s="3" t="inlineStr">
        <is>
          <t>Juan Pablo Ruiz</t>
        </is>
      </c>
    </row>
    <row r="5">
      <c r="A5" t="inlineStr">
        <is>
          <t>Expresión</t>
        </is>
      </c>
      <c r="B5" s="1">
        <f>L35</f>
        <v/>
      </c>
      <c r="C5" s="1">
        <f>R35</f>
        <v/>
      </c>
    </row>
    <row r="6">
      <c r="A6" t="inlineStr">
        <is>
          <t>Alma</t>
        </is>
      </c>
      <c r="B6" s="1">
        <f>L36</f>
        <v/>
      </c>
      <c r="C6" s="1">
        <f>R36</f>
        <v/>
      </c>
    </row>
    <row r="7">
      <c r="A7" t="inlineStr">
        <is>
          <t>Personalidad</t>
        </is>
      </c>
      <c r="B7" s="1">
        <f>L37</f>
        <v/>
      </c>
      <c r="C7" s="1">
        <f>R37</f>
        <v/>
      </c>
    </row>
    <row r="8">
      <c r="A8" t="inlineStr">
        <is>
          <t>Expresión (base)</t>
        </is>
      </c>
      <c r="B8">
        <f>IF(B5=11,2,IF(B5=22,4,IF(B5=33,6,B5)))</f>
        <v/>
      </c>
      <c r="C8">
        <f>IF(C5=11,2,IF(C5=22,4,IF(C5=33,6,C5)))</f>
        <v/>
      </c>
    </row>
    <row r="9">
      <c r="A9" t="inlineStr">
        <is>
          <t>Alma (base)</t>
        </is>
      </c>
      <c r="B9">
        <f>IF(B6=11,2,IF(B6=22,4,IF(B6=33,6,B6)))</f>
        <v/>
      </c>
      <c r="C9">
        <f>IF(C6=11,2,IF(C6=22,4,IF(C6=33,6,C6)))</f>
        <v/>
      </c>
    </row>
    <row r="10">
      <c r="A10" t="inlineStr">
        <is>
          <t>Personalidad (base)</t>
        </is>
      </c>
      <c r="B10">
        <f>IF(B7=11,2,IF(B7=22,4,IF(B7=33,6,B7)))</f>
        <v/>
      </c>
      <c r="C10">
        <f>IF(C7=11,2,IF(C7=22,4,IF(C7=33,6,C7)))</f>
        <v/>
      </c>
    </row>
    <row r="12">
      <c r="A12" s="2" t="inlineStr">
        <is>
          <t>Eje</t>
        </is>
      </c>
      <c r="B12" s="2" t="inlineStr">
        <is>
          <t>Con la fecha</t>
        </is>
      </c>
      <c r="C12" s="2" t="inlineStr">
        <is>
          <t>Con el nombre</t>
        </is>
      </c>
      <c r="D12" s="2" t="inlineStr">
        <is>
          <t>Combinado</t>
        </is>
      </c>
    </row>
    <row r="13">
      <c r="A13" s="1" t="inlineStr">
        <is>
          <t>Química (Personalidad)</t>
        </is>
      </c>
      <c r="B13" s="7">
        <f>Calculadora!D17</f>
        <v/>
      </c>
      <c r="C13" s="7">
        <f>MAX(0,MIN(100,INDEX(Matriz!$B$3:$J$11,$B$10,$C$10)+Parámetros!$B$3*((INDEX(Números!$C$2:$C$10,$B$10)+INDEX(Números!$C$2:$C$10,$C$10))/2-50)/50))</f>
        <v/>
      </c>
      <c r="D13" s="8">
        <f>(1-Parámetros!$B$4)*B13+Parámetros!$B$4*C13</f>
        <v/>
      </c>
    </row>
    <row r="14">
      <c r="A14" s="1" t="inlineStr">
        <is>
          <t>Afecto (Alma)</t>
        </is>
      </c>
      <c r="B14" s="7">
        <f>Calculadora!D18</f>
        <v/>
      </c>
      <c r="C14" s="7">
        <f>MAX(0,MIN(100,INDEX(Matriz!$B$3:$J$11,$B$9,$C$9)+Parámetros!$B$3*((INDEX(Números!$D$2:$D$10,$B$9)+INDEX(Números!$D$2:$D$10,$C$9))/2-50)/50))</f>
        <v/>
      </c>
      <c r="D14" s="8">
        <f>(1-Parámetros!$B$4)*B14+Parámetros!$B$4*C14</f>
        <v/>
      </c>
    </row>
    <row r="15">
      <c r="A15" s="1" t="inlineStr">
        <is>
          <t>Comunicación (Expresión)</t>
        </is>
      </c>
      <c r="B15" s="7">
        <f>Calculadora!D19</f>
        <v/>
      </c>
      <c r="C15" s="7">
        <f>MAX(0,MIN(100,INDEX(Matriz!$B$3:$J$11,$B$8,$C$8)+Parámetros!$B$3*((INDEX(Números!$E$2:$E$10,$B$8)+INDEX(Números!$E$2:$E$10,$C$8))/2-50)/50))</f>
        <v/>
      </c>
      <c r="D15" s="8">
        <f>(1-Parámetros!$B$4)*B15+Parámetros!$B$4*C15</f>
        <v/>
      </c>
    </row>
    <row r="16">
      <c r="A16" s="1" t="inlineStr">
        <is>
          <t>Compromiso (Expresión)</t>
        </is>
      </c>
      <c r="B16" s="7">
        <f>Calculadora!D20</f>
        <v/>
      </c>
      <c r="C16" s="7">
        <f>MAX(0,MIN(100,INDEX(Matriz!$B$3:$J$11,$B$8,$C$8)+Parámetros!$B$3*((INDEX(Números!$F$2:$F$10,$B$8)+INDEX(Números!$F$2:$F$10,$C$8))/2-50)/50))</f>
        <v/>
      </c>
      <c r="D16" s="8">
        <f>(1-Parámetros!$B$4)*B16+Parámetros!$B$4*C16</f>
        <v/>
      </c>
    </row>
    <row r="18">
      <c r="A18" s="2" t="inlineStr">
        <is>
          <t>Vínculo</t>
        </is>
      </c>
      <c r="B18" s="2" t="inlineStr">
        <is>
          <t>Solo fecha</t>
        </is>
      </c>
      <c r="C18" s="2" t="inlineStr">
        <is>
          <t>Con nombre</t>
        </is>
      </c>
    </row>
    <row r="19">
      <c r="A19" s="1" t="inlineStr">
        <is>
          <t>Pareja</t>
        </is>
      </c>
      <c r="B19" s="7">
        <f>Calculadora!B24</f>
        <v/>
      </c>
      <c r="C19" s="8">
        <f>D13*Parámetros!B6+D14*Parámetros!C6+D15*Parámetros!D6+D16*Parámetros!E6</f>
        <v/>
      </c>
    </row>
    <row r="20">
      <c r="A20" s="1" t="inlineStr">
        <is>
          <t>Amistad</t>
        </is>
      </c>
      <c r="B20" s="7">
        <f>Calculadora!B25</f>
        <v/>
      </c>
      <c r="C20" s="8">
        <f>D13*Parámetros!B7+D14*Parámetros!C7+D15*Parámetros!D7+D16*Parámetros!E7</f>
        <v/>
      </c>
    </row>
    <row r="21">
      <c r="A21" s="1" t="inlineStr">
        <is>
          <t>Trabajo</t>
        </is>
      </c>
      <c r="B21" s="7">
        <f>Calculadora!B26</f>
        <v/>
      </c>
      <c r="C21" s="8">
        <f>D13*Parámetros!B8+D14*Parámetros!C8+D15*Parámetros!D8+D16*Parámetros!E8</f>
        <v/>
      </c>
    </row>
    <row r="22">
      <c r="A22" s="1" t="inlineStr">
        <is>
          <t>Casual</t>
        </is>
      </c>
      <c r="B22" s="7">
        <f>Calculadora!B27</f>
        <v/>
      </c>
      <c r="C22" s="8">
        <f>D13*Parámetros!B9+D14*Parámetros!C9+D15*Parámetros!D9+D16*Parámetros!E9</f>
        <v/>
      </c>
    </row>
    <row r="24">
      <c r="A24" s="1" t="inlineStr">
        <is>
          <t>Global (promedio de los 4 vínculos)</t>
        </is>
      </c>
      <c r="B24" s="7">
        <f>Calculadora!B29</f>
        <v/>
      </c>
      <c r="C24" s="8">
        <f>AVERAGE(C19:C22)</f>
        <v/>
      </c>
    </row>
    <row r="30">
      <c r="J30">
        <f>SUBSTITUTE(SUBSTITUTE(SUBSTITUTE(SUBSTITUTE(SUBSTITUTE(SUBSTITUTE(SUBSTITUTE(UPPER(B4),"Á","A"),"É","E"),"Í","I"),"Ó","O"),"Ú","U"),"Ü","U"),"Ñ","N")</f>
        <v/>
      </c>
      <c r="P30">
        <f>SUBSTITUTE(SUBSTITUTE(SUBSTITUTE(SUBSTITUTE(SUBSTITUTE(SUBSTITUTE(SUBSTITUTE(UPPER(C4),"Á","A"),"É","E"),"Í","I"),"Ó","O"),"Ú","U"),"Ü","U"),"Ñ","N")</f>
        <v/>
      </c>
    </row>
    <row r="31">
      <c r="J31">
        <f>IF(LEN(J30)=0,0,SUMPRODUCT((CODE(MID(J30,ROW(INDIRECT("1:"&amp;LEN(J30))),1))&gt;=65)*(CODE(MID(J30,ROW(INDIRECT("1:"&amp;LEN(J30))),1))&lt;=90)*(MOD(CODE(MID(J30,ROW(INDIRECT("1:"&amp;LEN(J30))),1))-65,9)+1)))</f>
        <v/>
      </c>
      <c r="P31">
        <f>IF(LEN(P30)=0,0,SUMPRODUCT((CODE(MID(P30,ROW(INDIRECT("1:"&amp;LEN(P30))),1))&gt;=65)*(CODE(MID(P30,ROW(INDIRECT("1:"&amp;LEN(P30))),1))&lt;=90)*(MOD(CODE(MID(P30,ROW(INDIRECT("1:"&amp;LEN(P30))),1))-65,9)+1)))</f>
        <v/>
      </c>
    </row>
    <row r="32">
      <c r="J32">
        <f>IF(LEN(J30)=0,0,SUMPRODUCT((CODE(MID(J30,ROW(INDIRECT("1:"&amp;LEN(J30))),1))&gt;=65)*(CODE(MID(J30,ROW(INDIRECT("1:"&amp;LEN(J30))),1))&lt;=90)*(MOD(CODE(MID(J30,ROW(INDIRECT("1:"&amp;LEN(J30))),1))-65,9)+1)*ISNUMBER(SEARCH(MID(J30,ROW(INDIRECT("1:"&amp;LEN(J30))),1),"AEIOU"))))</f>
        <v/>
      </c>
      <c r="P32">
        <f>IF(LEN(P30)=0,0,SUMPRODUCT((CODE(MID(P30,ROW(INDIRECT("1:"&amp;LEN(P30))),1))&gt;=65)*(CODE(MID(P30,ROW(INDIRECT("1:"&amp;LEN(P30))),1))&lt;=90)*(MOD(CODE(MID(P30,ROW(INDIRECT("1:"&amp;LEN(P30))),1))-65,9)+1)*ISNUMBER(SEARCH(MID(P30,ROW(INDIRECT("1:"&amp;LEN(P30))),1),"AEIOU"))))</f>
        <v/>
      </c>
    </row>
    <row r="33">
      <c r="J33">
        <f>J31-J32</f>
        <v/>
      </c>
      <c r="P33">
        <f>P31-P32</f>
        <v/>
      </c>
    </row>
    <row r="35">
      <c r="J35">
        <f>(INT(J31/1000)+MOD(INT(J31/100),10)+MOD(INT(J31/10),10)+MOD(J31,10))</f>
        <v/>
      </c>
      <c r="K35">
        <f>(INT(J35/1000)+MOD(INT(J35/100),10)+MOD(INT(J35/10),10)+MOD(J35,10))</f>
        <v/>
      </c>
      <c r="L35">
        <f>IF(J31&lt;10,J31,IF(OR(J31=11,J31=22,J31=33),J31,IF(J35&lt;10,J35,IF(OR(J35=11,J35=22,J35=33),J35,IF(K35&lt;10,K35,IF(OR(K35=11,K35=22,K35=33),K35,(INT(K35/1000)+MOD(INT(K35/100),10)+MOD(INT(K35/10),10)+MOD(K35,10))))))))</f>
        <v/>
      </c>
      <c r="P35">
        <f>(INT(P31/1000)+MOD(INT(P31/100),10)+MOD(INT(P31/10),10)+MOD(P31,10))</f>
        <v/>
      </c>
      <c r="Q35">
        <f>(INT(P35/1000)+MOD(INT(P35/100),10)+MOD(INT(P35/10),10)+MOD(P35,10))</f>
        <v/>
      </c>
      <c r="R35">
        <f>IF(P31&lt;10,P31,IF(OR(P31=11,P31=22,P31=33),P31,IF(P35&lt;10,P35,IF(OR(P35=11,P35=22,P35=33),P35,IF(Q35&lt;10,Q35,IF(OR(Q35=11,Q35=22,Q35=33),Q35,(INT(Q35/1000)+MOD(INT(Q35/100),10)+MOD(INT(Q35/10),10)+MOD(Q35,10))))))))</f>
        <v/>
      </c>
    </row>
    <row r="36">
      <c r="J36">
        <f>(INT(J32/1000)+MOD(INT(J32/100),10)+MOD(INT(J32/10),10)+MOD(J32,10))</f>
        <v/>
      </c>
      <c r="K36">
        <f>(INT(J36/1000)+MOD(INT(J36/100),10)+MOD(INT(J36/10),10)+MOD(J36,10))</f>
        <v/>
      </c>
      <c r="L36">
        <f>IF(J32&lt;10,J32,IF(OR(J32=11,J32=22,J32=33),J32,IF(J36&lt;10,J36,IF(OR(J36=11,J36=22,J36=33),J36,IF(K36&lt;10,K36,IF(OR(K36=11,K36=22,K36=33),K36,(INT(K36/1000)+MOD(INT(K36/100),10)+MOD(INT(K36/10),10)+MOD(K36,10))))))))</f>
        <v/>
      </c>
      <c r="P36">
        <f>(INT(P32/1000)+MOD(INT(P32/100),10)+MOD(INT(P32/10),10)+MOD(P32,10))</f>
        <v/>
      </c>
      <c r="Q36">
        <f>(INT(P36/1000)+MOD(INT(P36/100),10)+MOD(INT(P36/10),10)+MOD(P36,10))</f>
        <v/>
      </c>
      <c r="R36">
        <f>IF(P32&lt;10,P32,IF(OR(P32=11,P32=22,P32=33),P32,IF(P36&lt;10,P36,IF(OR(P36=11,P36=22,P36=33),P36,IF(Q36&lt;10,Q36,IF(OR(Q36=11,Q36=22,Q36=33),Q36,(INT(Q36/1000)+MOD(INT(Q36/100),10)+MOD(INT(Q36/10),10)+MOD(Q36,10))))))))</f>
        <v/>
      </c>
    </row>
    <row r="37">
      <c r="J37">
        <f>(INT(J33/1000)+MOD(INT(J33/100),10)+MOD(INT(J33/10),10)+MOD(J33,10))</f>
        <v/>
      </c>
      <c r="K37">
        <f>(INT(J37/1000)+MOD(INT(J37/100),10)+MOD(INT(J37/10),10)+MOD(J37,10))</f>
        <v/>
      </c>
      <c r="L37">
        <f>IF(J33&lt;10,J33,IF(OR(J33=11,J33=22,J33=33),J33,IF(J37&lt;10,J37,IF(OR(J37=11,J37=22,J37=33),J37,IF(K37&lt;10,K37,IF(OR(K37=11,K37=22,K37=33),K37,(INT(K37/1000)+MOD(INT(K37/100),10)+MOD(INT(K37/10),10)+MOD(K37,10))))))))</f>
        <v/>
      </c>
      <c r="P37">
        <f>(INT(P33/1000)+MOD(INT(P33/100),10)+MOD(INT(P33/10),10)+MOD(P33,10))</f>
        <v/>
      </c>
      <c r="Q37">
        <f>(INT(P37/1000)+MOD(INT(P37/100),10)+MOD(INT(P37/10),10)+MOD(P37,10))</f>
        <v/>
      </c>
      <c r="R37">
        <f>IF(P33&lt;10,P33,IF(OR(P33=11,P33=22,P33=33),P33,IF(P37&lt;10,P37,IF(OR(P37=11,P37=22,P37=33),P37,IF(Q37&lt;10,Q37,IF(OR(Q37=11,Q37=22,Q37=33),Q37,(INT(Q37/1000)+MOD(INT(Q37/100),10)+MOD(INT(Q37/10),10)+MOD(Q37,10))))))))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2026-10-23T20:37:55Z</dcterms:created>
  <dcterms:modified xsi:type="dcterms:W3CDTF">2026-10-23T20:37:55Z</dcterms:modified>
</cp:coreProperties>
</file>